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work/仙園餐廳/"/>
    </mc:Choice>
  </mc:AlternateContent>
  <xr:revisionPtr revIDLastSave="0" documentId="13_ncr:1_{15DF7332-527C-314E-9080-53C09221AC69}" xr6:coauthVersionLast="45" xr6:coauthVersionMax="45" xr10:uidLastSave="{00000000-0000-0000-0000-000000000000}"/>
  <bookViews>
    <workbookView xWindow="21280" yWindow="500" windowWidth="33340" windowHeight="19740" xr2:uid="{B466605B-DA81-3E4C-BF55-65A863EC5625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9" i="1" l="1"/>
  <c r="D7" i="1"/>
  <c r="D8" i="1"/>
  <c r="D10" i="1"/>
  <c r="D6" i="1"/>
  <c r="D4" i="1"/>
  <c r="D5" i="1"/>
  <c r="D2" i="1"/>
  <c r="D15" i="1" s="1"/>
  <c r="D11" i="1"/>
  <c r="D12" i="1"/>
  <c r="D13" i="1"/>
  <c r="D14" i="1"/>
  <c r="D3" i="1"/>
  <c r="C15" i="1"/>
  <c r="B15" i="1"/>
</calcChain>
</file>

<file path=xl/sharedStrings.xml><?xml version="1.0" encoding="utf-8"?>
<sst xmlns="http://schemas.openxmlformats.org/spreadsheetml/2006/main" count="17" uniqueCount="17">
  <si>
    <t>里名</t>
    <phoneticPr fontId="1" type="noConversion"/>
  </si>
  <si>
    <t>舊社里</t>
    <phoneticPr fontId="1" type="noConversion"/>
  </si>
  <si>
    <t>三光里</t>
    <phoneticPr fontId="1" type="noConversion"/>
  </si>
  <si>
    <t>三和里</t>
    <phoneticPr fontId="1" type="noConversion"/>
  </si>
  <si>
    <t>東光里</t>
    <phoneticPr fontId="1" type="noConversion"/>
  </si>
  <si>
    <t>北興里</t>
    <phoneticPr fontId="1" type="noConversion"/>
  </si>
  <si>
    <t>軍功里</t>
    <phoneticPr fontId="1" type="noConversion"/>
  </si>
  <si>
    <t>水景里</t>
    <phoneticPr fontId="1" type="noConversion"/>
  </si>
  <si>
    <t>和平里</t>
    <phoneticPr fontId="1" type="noConversion"/>
  </si>
  <si>
    <t>廍子里</t>
    <phoneticPr fontId="1" type="noConversion"/>
  </si>
  <si>
    <t>大坑里</t>
    <phoneticPr fontId="1" type="noConversion"/>
  </si>
  <si>
    <t>東山里</t>
    <phoneticPr fontId="1" type="noConversion"/>
  </si>
  <si>
    <t>民政里</t>
    <phoneticPr fontId="1" type="noConversion"/>
  </si>
  <si>
    <t>民德里</t>
    <phoneticPr fontId="1" type="noConversion"/>
  </si>
  <si>
    <t>設籍人口數</t>
    <phoneticPr fontId="1" type="noConversion"/>
  </si>
  <si>
    <t>戶數</t>
    <phoneticPr fontId="1" type="noConversion"/>
  </si>
  <si>
    <t>家戶人口數 x3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</si>
</sst>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4616E-CB70-7E44-AEA4-9A8E77264142}">
  <dimension ref="A1:D15"/>
  <sheetViews>
    <sheetView tabSelected="1" zoomScale="120" zoomScaleNormal="120" workbookViewId="0">
      <selection activeCell="A2" sqref="A2:XFD14"/>
    </sheetView>
  </sheetViews>
  <sheetFormatPr baseColWidth="10" defaultRowHeight="22"/>
  <cols>
    <col min="1" max="2" width="15.5" style="1" customWidth="1"/>
    <col min="3" max="3" width="17.6640625" style="2" customWidth="1"/>
    <col min="4" max="4" width="24.6640625" style="1" customWidth="1"/>
    <col min="5" max="16384" width="10.83203125" style="1"/>
  </cols>
  <sheetData>
    <row r="1" spans="1:4">
      <c r="A1" s="1" t="s">
        <v>0</v>
      </c>
      <c r="B1" s="1" t="s">
        <v>14</v>
      </c>
      <c r="C1" s="2" t="s">
        <v>15</v>
      </c>
      <c r="D1" s="1" t="s">
        <v>16</v>
      </c>
    </row>
    <row r="2" spans="1:4">
      <c r="A2" s="1" t="s">
        <v>9</v>
      </c>
      <c r="B2" s="1">
        <v>30075</v>
      </c>
      <c r="C2" s="2">
        <v>14267</v>
      </c>
      <c r="D2" s="1">
        <f>C2*3</f>
        <v>42801</v>
      </c>
    </row>
    <row r="3" spans="1:4">
      <c r="A3" s="1" t="s">
        <v>1</v>
      </c>
      <c r="B3" s="1">
        <v>22952</v>
      </c>
      <c r="C3" s="2">
        <v>12079</v>
      </c>
      <c r="D3" s="1">
        <f>C3*3</f>
        <v>36237</v>
      </c>
    </row>
    <row r="4" spans="1:4">
      <c r="A4" s="1" t="s">
        <v>7</v>
      </c>
      <c r="B4" s="1">
        <v>18028</v>
      </c>
      <c r="C4" s="2">
        <v>7328</v>
      </c>
      <c r="D4" s="1">
        <f>C4*3</f>
        <v>21984</v>
      </c>
    </row>
    <row r="5" spans="1:4">
      <c r="A5" s="1" t="s">
        <v>8</v>
      </c>
      <c r="B5" s="1">
        <v>15536</v>
      </c>
      <c r="C5" s="2">
        <v>6156</v>
      </c>
      <c r="D5" s="1">
        <f>C5*3</f>
        <v>18468</v>
      </c>
    </row>
    <row r="6" spans="1:4">
      <c r="A6" s="1" t="s">
        <v>6</v>
      </c>
      <c r="B6" s="1">
        <v>15533</v>
      </c>
      <c r="C6" s="2">
        <v>6003</v>
      </c>
      <c r="D6" s="1">
        <f>C6*3</f>
        <v>18009</v>
      </c>
    </row>
    <row r="7" spans="1:4">
      <c r="A7" s="1" t="s">
        <v>2</v>
      </c>
      <c r="B7" s="1">
        <v>8108</v>
      </c>
      <c r="C7" s="2">
        <v>3625</v>
      </c>
      <c r="D7" s="1">
        <f>C7*3</f>
        <v>10875</v>
      </c>
    </row>
    <row r="8" spans="1:4">
      <c r="A8" s="1" t="s">
        <v>3</v>
      </c>
      <c r="B8" s="1">
        <v>6476</v>
      </c>
      <c r="C8" s="2">
        <v>2746</v>
      </c>
      <c r="D8" s="1">
        <f>C8*3</f>
        <v>8238</v>
      </c>
    </row>
    <row r="9" spans="1:4">
      <c r="A9" s="1" t="s">
        <v>4</v>
      </c>
      <c r="B9" s="1">
        <v>5142</v>
      </c>
      <c r="C9" s="2">
        <v>2196</v>
      </c>
      <c r="D9" s="1">
        <f>C9*3</f>
        <v>6588</v>
      </c>
    </row>
    <row r="10" spans="1:4">
      <c r="A10" s="1" t="s">
        <v>5</v>
      </c>
      <c r="B10" s="1">
        <v>3482</v>
      </c>
      <c r="C10" s="2">
        <v>1562</v>
      </c>
      <c r="D10" s="1">
        <f>C10*3</f>
        <v>4686</v>
      </c>
    </row>
    <row r="11" spans="1:4">
      <c r="A11" s="1" t="s">
        <v>10</v>
      </c>
      <c r="B11" s="1">
        <v>2354</v>
      </c>
      <c r="C11" s="2">
        <v>902</v>
      </c>
      <c r="D11" s="1">
        <f>C11*3</f>
        <v>2706</v>
      </c>
    </row>
    <row r="12" spans="1:4">
      <c r="A12" s="1" t="s">
        <v>11</v>
      </c>
      <c r="B12" s="1">
        <v>2352</v>
      </c>
      <c r="C12" s="2">
        <v>924</v>
      </c>
      <c r="D12" s="1">
        <f>C12*3</f>
        <v>2772</v>
      </c>
    </row>
    <row r="13" spans="1:4">
      <c r="A13" s="1" t="s">
        <v>12</v>
      </c>
      <c r="B13" s="1">
        <v>1235</v>
      </c>
      <c r="C13" s="2">
        <v>475</v>
      </c>
      <c r="D13" s="1">
        <f>C13*3</f>
        <v>1425</v>
      </c>
    </row>
    <row r="14" spans="1:4">
      <c r="A14" s="1" t="s">
        <v>13</v>
      </c>
      <c r="B14" s="1">
        <v>1030</v>
      </c>
      <c r="C14" s="2">
        <v>451</v>
      </c>
      <c r="D14" s="1">
        <f>C14*3</f>
        <v>1353</v>
      </c>
    </row>
    <row r="15" spans="1:4">
      <c r="B15" s="1">
        <f>SUM(B2:B14)</f>
        <v>132303</v>
      </c>
      <c r="C15" s="2">
        <f>SUM(C2:C14)</f>
        <v>58714</v>
      </c>
      <c r="D15" s="1">
        <f>SUM(D2:D14)</f>
        <v>176142</v>
      </c>
    </row>
  </sheetData>
  <sortState ref="A2:D14">
    <sortCondition descending="1" ref="B2:B1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2026-09-05T02:59:57Z</dcterms:created>
  <dcterms:modified xsi:type="dcterms:W3CDTF">2026-09-05T03:16:43Z</dcterms:modified>
</cp:coreProperties>
</file>